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dd746efdb974eb/Desktop/10월8일 실습/"/>
    </mc:Choice>
  </mc:AlternateContent>
  <xr:revisionPtr revIDLastSave="0" documentId="8_{813DDE3E-14AD-4A57-8EAC-62F697F9FC73}" xr6:coauthVersionLast="47" xr6:coauthVersionMax="47" xr10:uidLastSave="{00000000-0000-0000-0000-000000000000}"/>
  <bookViews>
    <workbookView xWindow="-98" yWindow="-98" windowWidth="21795" windowHeight="12975" xr2:uid="{197B8743-B2A7-4B2A-BB1F-B87EF9C1D60E}"/>
  </bookViews>
  <sheets>
    <sheet name="차량등록_전산관리대장" sheetId="1" r:id="rId1"/>
    <sheet name="차량등록부(현장비치·인쇄용)" sheetId="2" r:id="rId2"/>
    <sheet name="차량등록신청서(1인제출용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H5" i="1"/>
  <c r="E5" i="1"/>
  <c r="B5" i="1"/>
</calcChain>
</file>

<file path=xl/sharedStrings.xml><?xml version="1.0" encoding="utf-8"?>
<sst xmlns="http://schemas.openxmlformats.org/spreadsheetml/2006/main" count="165" uniqueCount="141">
  <si>
    <t>화성시남부노인복지관 이용자 차량등록 관리대장</t>
  </si>
  <si>
    <t>※ 본 대장은 복지관 이용 어르신 및 방문객 차량의 안전한 주차 관리 및 비상 연락을 위한 전산 관리용 대장입니다.</t>
  </si>
  <si>
    <t>총 등록 차량</t>
  </si>
  <si>
    <t>일반 차량</t>
  </si>
  <si>
    <t>장애인 / 배려차량</t>
  </si>
  <si>
    <t>경차 / 친환경</t>
  </si>
  <si>
    <t>연번</t>
  </si>
  <si>
    <t>등록일자</t>
  </si>
  <si>
    <t>회원번호</t>
  </si>
  <si>
    <t>성명</t>
  </si>
  <si>
    <t>생년월일</t>
  </si>
  <si>
    <t>연락처(휴대폰)</t>
  </si>
  <si>
    <t>비상연락처</t>
  </si>
  <si>
    <t>차량번호</t>
  </si>
  <si>
    <t>차종(모델명)</t>
  </si>
  <si>
    <t>구분(우대)</t>
  </si>
  <si>
    <t>소유관계</t>
  </si>
  <si>
    <t>주차증번호</t>
  </si>
  <si>
    <t>비고</t>
  </si>
  <si>
    <t>M-2024-012</t>
  </si>
  <si>
    <t>김철수</t>
  </si>
  <si>
    <t>010-1234-5678</t>
  </si>
  <si>
    <t>010-9876-5432 (자녀)</t>
  </si>
  <si>
    <t>12가 3456</t>
  </si>
  <si>
    <t>그랜저 (검정)</t>
  </si>
  <si>
    <t>일반</t>
  </si>
  <si>
    <t>본인</t>
  </si>
  <si>
    <t>PK-001</t>
  </si>
  <si>
    <t>탁구교실</t>
  </si>
  <si>
    <t>M-2024-045</t>
  </si>
  <si>
    <t>이영희</t>
  </si>
  <si>
    <t>010-2345-6789</t>
  </si>
  <si>
    <t>010-8765-4321 (배우자)</t>
  </si>
  <si>
    <t>34나 7890</t>
  </si>
  <si>
    <t>아반떼 (흰색)</t>
  </si>
  <si>
    <t>어르신우대</t>
  </si>
  <si>
    <t>PK-002</t>
  </si>
  <si>
    <t>서예반</t>
  </si>
  <si>
    <t>M-2024-088</t>
  </si>
  <si>
    <t>박만석</t>
  </si>
  <si>
    <t>010-3456-7890</t>
  </si>
  <si>
    <t>010-7654-3210 (자녀)</t>
  </si>
  <si>
    <t>56다 1234</t>
  </si>
  <si>
    <t>카니발 (은색)</t>
  </si>
  <si>
    <t>장애인</t>
  </si>
  <si>
    <t>가족</t>
  </si>
  <si>
    <t>PK-003</t>
  </si>
  <si>
    <t>장애인주차구역</t>
  </si>
  <si>
    <t>M-2024-102</t>
  </si>
  <si>
    <t>정순자</t>
  </si>
  <si>
    <t>010-4567-8901</t>
  </si>
  <si>
    <t>010-6543-2109 (본인)</t>
  </si>
  <si>
    <t>78라 5678</t>
  </si>
  <si>
    <t>모닝 (베이지)</t>
  </si>
  <si>
    <t>경차</t>
  </si>
  <si>
    <t>PK-004</t>
  </si>
  <si>
    <t>정보화교실</t>
  </si>
  <si>
    <t>M-2024-119</t>
  </si>
  <si>
    <t>최동훈</t>
  </si>
  <si>
    <t>010-5678-9012</t>
  </si>
  <si>
    <t>010-5432-1098 (배우자)</t>
  </si>
  <si>
    <t>90마 9012</t>
  </si>
  <si>
    <t>아이오닉5 (회색)</t>
  </si>
  <si>
    <t>친환경</t>
  </si>
  <si>
    <t>PK-005</t>
  </si>
  <si>
    <t>전기차충전이용</t>
  </si>
  <si>
    <t>M-2024-156</t>
  </si>
  <si>
    <t>강옥자</t>
  </si>
  <si>
    <t>010-6789-0123</t>
  </si>
  <si>
    <t>010-4321-0987 (자녀)</t>
  </si>
  <si>
    <t>23바 4567</t>
  </si>
  <si>
    <t>쏘나타 (은색)</t>
  </si>
  <si>
    <t>PK-006</t>
  </si>
  <si>
    <t>건강증진실</t>
  </si>
  <si>
    <t>M-2024-177</t>
  </si>
  <si>
    <t>윤상현</t>
  </si>
  <si>
    <t>010-7890-1234</t>
  </si>
  <si>
    <t>010-3210-9876 (자녀)</t>
  </si>
  <si>
    <t>45사 8901</t>
  </si>
  <si>
    <t>투싼 (흰색)</t>
  </si>
  <si>
    <t>PK-007</t>
  </si>
  <si>
    <t>바둑·장기실</t>
  </si>
  <si>
    <t>M-2024-201</t>
  </si>
  <si>
    <t>한미경</t>
  </si>
  <si>
    <t>010-8901-2345</t>
  </si>
  <si>
    <t>010-2109-8765 (배우자)</t>
  </si>
  <si>
    <t>67아 2345</t>
  </si>
  <si>
    <t>스파크 (파랑)</t>
  </si>
  <si>
    <t>PK-008</t>
  </si>
  <si>
    <t>라인댄스</t>
  </si>
  <si>
    <t>M-2024-220</t>
  </si>
  <si>
    <t>조병호</t>
  </si>
  <si>
    <t>010-9012-3456</t>
  </si>
  <si>
    <t>010-1098-7654 (자녀)</t>
  </si>
  <si>
    <t>89자 6789</t>
  </si>
  <si>
    <t>제네시스 (검정)</t>
  </si>
  <si>
    <t>PK-009</t>
  </si>
  <si>
    <t>물리치료실</t>
  </si>
  <si>
    <t>M-2024-245</t>
  </si>
  <si>
    <t>임정희</t>
  </si>
  <si>
    <t>010-0123-4567</t>
  </si>
  <si>
    <t>010-0987-6543 (자녀)</t>
  </si>
  <si>
    <t>11차 3344</t>
  </si>
  <si>
    <t>K5 (흰색)</t>
  </si>
  <si>
    <t>PK-010</t>
  </si>
  <si>
    <t>노래교실</t>
  </si>
  <si>
    <t>화성시남부노인복지관 이용자 차량등록기록부</t>
  </si>
  <si>
    <t>결
재</t>
  </si>
  <si>
    <t>담당</t>
  </si>
  <si>
    <t>팀장</t>
  </si>
  <si>
    <t>관장</t>
  </si>
  <si>
    <t>■ 등록안내: 복지관 주차장 이용 시 원활한 차량 소통과 비상 시 신속한 연락을 위해 차량 정보를 정확히 기재해 주시기 바랍니다.</t>
  </si>
  <si>
    <t>성 명</t>
  </si>
  <si>
    <t>차종/색상</t>
  </si>
  <si>
    <t>연락처 (휴대폰)</t>
  </si>
  <si>
    <t>비상연락처 (보호자)</t>
  </si>
  <si>
    <t>차량구분</t>
  </si>
  <si>
    <t>이용프로그램/용건</t>
  </si>
  <si>
    <t>주차증</t>
  </si>
  <si>
    <t>서 명</t>
  </si>
  <si>
    <t>【개인정보 수집·이용 동의 안내】 수집항목: 성명, 연락처, 차량번호, 비상연락처 / 이용목적: 복지관 부설주차장 차량 등록 관리 및 긴급출차 연락 / 보유기간: 회원 탈퇴 또는 차량 등록 해지 시까지 (개인정보보호법에 의거하여 안전하게 관리됩니다.)</t>
  </si>
  <si>
    <t>이용자 차량 등록 신청서</t>
  </si>
  <si>
    <t>화성시남부노인복지관</t>
  </si>
  <si>
    <t>1. 신청인(이용자) 인적사항</t>
  </si>
  <si>
    <t>휴대전화</t>
  </si>
  <si>
    <t>이용 프로그램</t>
  </si>
  <si>
    <t>자택주소</t>
  </si>
  <si>
    <t>2. 등록 차량 정보</t>
  </si>
  <si>
    <t>차종 / 색상</t>
  </si>
  <si>
    <t>차량소유자</t>
  </si>
  <si>
    <t>□ 본인   □ 배우자   □ 자녀   □ 기타(      )</t>
  </si>
  <si>
    <t>□ 일반   □ 장애인표지   □ 경차   □ 친환경</t>
  </si>
  <si>
    <t>발급 주차증 번호
(관리자 기재)</t>
  </si>
  <si>
    <t>신청 구분</t>
  </si>
  <si>
    <t>□ 신규등록    □ 차량변경    □ 재발급</t>
  </si>
  <si>
    <t>3. 주차장 이용 수칙 준수 서약 및 개인정보 수집·이용 동의</t>
  </si>
  <si>
    <t>【주차장 이용 안내 및 수칙】
1. 복지관 주차장은 복지관 이용 어르신 및 프로그램 참여자의 편의를 위한 시설입니다.
2. 차량 내에 비상 연락처를 반드시 부착하며, 이중주차 또는 비상 출차 요청 시 즉시 협조합니다.
3. 장애인 전용 주차구역은 해당 표지 부착 차량 외에는 일체 주차할 수 없습니다.
4. 주차장 내 도난, 파손, 접촉사고 등의 사고에 대해서는 이용자 본인의 책임에 따릅니다.
【개인정보 수집 및 이용 동의】
■ 수집·이용 목적: 복지관 이용자 차량 등록, 주차증 발급, 비상시 출차 연락
■ 수집 항목: 성명, 생년월일, 회원번호, 연락처, 비상연락처, 차량번호, 차종
■ 보유 및 이용기간: 복지관 이용 기간 (회원 탈퇴 또는 등록 취소 요청 시 파기)
※ 개인정보 수집·이용에 동의하지 않을 권리가 있으나, 미동의 시 차량 등록 및 주차장 이용이 제한될 수 있습니다.</t>
  </si>
  <si>
    <t>개인정보 수집 및 이용 안내와 주차장 이용 수칙에 동의하십니까?   [  ] 동의함    [  ] 동의하지 않음</t>
  </si>
  <si>
    <t>2026 년        월        일</t>
  </si>
  <si>
    <t>신  청  인 :                     (서명 또는 인)</t>
  </si>
  <si>
    <t>화성시남부노인복지관장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</si>
</sst>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대&quot;"/>
  </numFmts>
  <fonts count="23" x14ac:knownFonts="1"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rgb="FFFFFFFF"/>
      <name val="맑은 고딕"/>
      <family val="3"/>
      <charset val="129"/>
      <scheme val="minor"/>
    </font>
    <font>
      <sz val="9.5"/>
      <color theme="1"/>
      <name val="맑은 고딕"/>
      <family val="2"/>
      <charset val="129"/>
      <scheme val="minor"/>
    </font>
    <font>
      <sz val="9.5"/>
      <color rgb="FF545454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1F4E78"/>
      <name val="맑은 고딕"/>
      <family val="3"/>
      <charset val="129"/>
      <scheme val="minor"/>
    </font>
    <font>
      <b/>
      <sz val="16"/>
      <color rgb="FF1F4E78"/>
      <name val="맑은 고딕"/>
      <family val="3"/>
      <charset val="129"/>
      <scheme val="minor"/>
    </font>
    <font>
      <b/>
      <sz val="10.5"/>
      <color rgb="FFFFFFFF"/>
      <name val="맑은 고딕"/>
      <family val="3"/>
      <charset val="129"/>
      <scheme val="minor"/>
    </font>
    <font>
      <sz val="9.5"/>
      <color theme="1"/>
      <name val="맑은 고딕"/>
      <family val="3"/>
      <charset val="129"/>
      <scheme val="minor"/>
    </font>
    <font>
      <b/>
      <sz val="9.5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rgb="FF323232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.5"/>
      <color rgb="FF545454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1F4E7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CFCFC"/>
        <bgColor indexed="64"/>
      </patternFill>
    </fill>
  </fills>
  <borders count="10">
    <border>
      <left/>
      <right/>
      <top/>
      <bottom/>
      <diagonal/>
    </border>
    <border>
      <left style="thin">
        <color rgb="FFAFAFAF"/>
      </left>
      <right style="thin">
        <color rgb="FFAFAFAF"/>
      </right>
      <top style="thin">
        <color rgb="FFAFAFAF"/>
      </top>
      <bottom style="thin">
        <color rgb="FFAFAFA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hair">
        <color rgb="FFD6D6D6"/>
      </left>
      <right style="hair">
        <color rgb="FFD6D6D6"/>
      </right>
      <top style="hair">
        <color rgb="FFD6D6D6"/>
      </top>
      <bottom style="hair">
        <color rgb="FFD6D6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AFAFAF"/>
      </left>
      <right style="hair">
        <color rgb="FFAFAFAF"/>
      </right>
      <top style="hair">
        <color rgb="FFAFAFAF"/>
      </top>
      <bottom style="hair">
        <color rgb="FFAFAFAF"/>
      </bottom>
      <diagonal/>
    </border>
    <border>
      <left style="hair">
        <color rgb="FFAFAFAF"/>
      </left>
      <right style="hair">
        <color rgb="FFAFAFAF"/>
      </right>
      <top style="hair">
        <color rgb="FFAFAFAF"/>
      </top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76" fontId="9" fillId="4" borderId="1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4" fontId="11" fillId="5" borderId="4" xfId="0" applyNumberFormat="1" applyFont="1" applyFill="1" applyBorder="1" applyAlignment="1">
      <alignment horizontal="center" vertical="center"/>
    </xf>
    <xf numFmtId="14" fontId="11" fillId="6" borderId="4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>
      <alignment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7" borderId="5" xfId="0" applyFont="1" applyFill="1" applyBorder="1" applyAlignment="1">
      <alignment horizontal="center" vertical="center"/>
    </xf>
    <xf numFmtId="0" fontId="17" fillId="8" borderId="7" xfId="0" applyFont="1" applyFill="1" applyBorder="1">
      <alignment vertical="center"/>
    </xf>
    <xf numFmtId="0" fontId="17" fillId="8" borderId="6" xfId="0" applyFont="1" applyFill="1" applyBorder="1">
      <alignment vertical="center"/>
    </xf>
    <xf numFmtId="0" fontId="17" fillId="0" borderId="6" xfId="0" applyFont="1" applyBorder="1">
      <alignment vertical="center"/>
    </xf>
    <xf numFmtId="0" fontId="17" fillId="8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8" fillId="4" borderId="8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CD8B-CECF-4D15-B238-E71F918D2A21}">
  <sheetPr>
    <tabColor rgb="FF1F4E78"/>
    <pageSetUpPr fitToPage="1"/>
  </sheetPr>
  <dimension ref="A1:M35"/>
  <sheetViews>
    <sheetView tabSelected="1" workbookViewId="0">
      <selection sqref="A1:M1"/>
    </sheetView>
  </sheetViews>
  <sheetFormatPr defaultRowHeight="16.899999999999999" x14ac:dyDescent="0.6"/>
  <cols>
    <col min="1" max="1" width="6.5625" customWidth="1"/>
    <col min="2" max="3" width="12.5625" customWidth="1"/>
    <col min="4" max="4" width="11.5625" customWidth="1"/>
    <col min="5" max="5" width="12.5625" customWidth="1"/>
    <col min="6" max="6" width="16.5625" customWidth="1"/>
    <col min="7" max="7" width="19.5625" customWidth="1"/>
    <col min="8" max="8" width="14.5625" customWidth="1"/>
    <col min="9" max="9" width="16.5625" customWidth="1"/>
    <col min="10" max="10" width="12.5625" customWidth="1"/>
    <col min="11" max="11" width="10.5625" customWidth="1"/>
    <col min="12" max="12" width="12.5625" customWidth="1"/>
    <col min="13" max="13" width="18.5625" customWidth="1"/>
  </cols>
  <sheetData>
    <row r="1" spans="1:13" ht="42" customHeight="1" x14ac:dyDescent="0.6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22.05" customHeight="1" x14ac:dyDescent="0.6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22.05" customHeight="1" x14ac:dyDescent="0.6">
      <c r="B4" s="6" t="s">
        <v>2</v>
      </c>
      <c r="C4" s="6"/>
      <c r="E4" s="6" t="s">
        <v>3</v>
      </c>
      <c r="F4" s="6"/>
      <c r="H4" s="6" t="s">
        <v>4</v>
      </c>
      <c r="I4" s="6"/>
      <c r="K4" s="6" t="s">
        <v>5</v>
      </c>
      <c r="L4" s="6"/>
    </row>
    <row r="5" spans="1:13" ht="28.05" customHeight="1" x14ac:dyDescent="0.6">
      <c r="B5" s="7">
        <f>COUNTA(A8:A100)</f>
        <v>28</v>
      </c>
      <c r="C5" s="7"/>
      <c r="E5" s="7">
        <f>COUNTIF(J8:J100, "일반")</f>
        <v>4</v>
      </c>
      <c r="F5" s="7"/>
      <c r="H5" s="7">
        <f>COUNTIF(J8:J100, "장애인") + COUNTIF(J8:J100, "어르신우대")</f>
        <v>3</v>
      </c>
      <c r="I5" s="7"/>
      <c r="K5" s="7">
        <f>COUNTIF(J8:J100, "경차") + COUNTIF(J8:J100, "친환경")</f>
        <v>3</v>
      </c>
      <c r="L5" s="7"/>
    </row>
    <row r="6" spans="1:13" ht="12" customHeight="1" x14ac:dyDescent="0.6"/>
    <row r="7" spans="1:13" ht="28.05" customHeight="1" x14ac:dyDescent="0.6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  <c r="L7" s="8" t="s">
        <v>17</v>
      </c>
      <c r="M7" s="8" t="s">
        <v>18</v>
      </c>
    </row>
    <row r="8" spans="1:13" ht="22.05" customHeight="1" x14ac:dyDescent="0.6">
      <c r="A8" s="9">
        <v>1</v>
      </c>
      <c r="B8" s="13">
        <v>46083</v>
      </c>
      <c r="C8" s="9" t="s">
        <v>19</v>
      </c>
      <c r="D8" s="9" t="s">
        <v>20</v>
      </c>
      <c r="E8" s="13">
        <v>17665</v>
      </c>
      <c r="F8" s="9" t="s">
        <v>21</v>
      </c>
      <c r="G8" s="15" t="s">
        <v>22</v>
      </c>
      <c r="H8" s="19" t="s">
        <v>23</v>
      </c>
      <c r="I8" s="15" t="s">
        <v>24</v>
      </c>
      <c r="J8" s="9" t="s">
        <v>25</v>
      </c>
      <c r="K8" s="9" t="s">
        <v>26</v>
      </c>
      <c r="L8" s="9" t="s">
        <v>27</v>
      </c>
      <c r="M8" s="15" t="s">
        <v>28</v>
      </c>
    </row>
    <row r="9" spans="1:13" ht="22.05" customHeight="1" x14ac:dyDescent="0.6">
      <c r="A9" s="10">
        <v>2</v>
      </c>
      <c r="B9" s="14">
        <v>46084</v>
      </c>
      <c r="C9" s="10" t="s">
        <v>29</v>
      </c>
      <c r="D9" s="10" t="s">
        <v>30</v>
      </c>
      <c r="E9" s="14">
        <v>19318</v>
      </c>
      <c r="F9" s="10" t="s">
        <v>31</v>
      </c>
      <c r="G9" s="16" t="s">
        <v>32</v>
      </c>
      <c r="H9" s="20" t="s">
        <v>33</v>
      </c>
      <c r="I9" s="16" t="s">
        <v>34</v>
      </c>
      <c r="J9" s="10" t="s">
        <v>35</v>
      </c>
      <c r="K9" s="10" t="s">
        <v>26</v>
      </c>
      <c r="L9" s="10" t="s">
        <v>36</v>
      </c>
      <c r="M9" s="16" t="s">
        <v>37</v>
      </c>
    </row>
    <row r="10" spans="1:13" ht="22.05" customHeight="1" x14ac:dyDescent="0.6">
      <c r="A10" s="9">
        <v>3</v>
      </c>
      <c r="B10" s="13">
        <v>46086</v>
      </c>
      <c r="C10" s="9" t="s">
        <v>38</v>
      </c>
      <c r="D10" s="9" t="s">
        <v>39</v>
      </c>
      <c r="E10" s="13">
        <v>16482</v>
      </c>
      <c r="F10" s="9" t="s">
        <v>40</v>
      </c>
      <c r="G10" s="15" t="s">
        <v>41</v>
      </c>
      <c r="H10" s="19" t="s">
        <v>42</v>
      </c>
      <c r="I10" s="15" t="s">
        <v>43</v>
      </c>
      <c r="J10" s="9" t="s">
        <v>44</v>
      </c>
      <c r="K10" s="9" t="s">
        <v>45</v>
      </c>
      <c r="L10" s="9" t="s">
        <v>46</v>
      </c>
      <c r="M10" s="15" t="s">
        <v>47</v>
      </c>
    </row>
    <row r="11" spans="1:13" ht="22.05" customHeight="1" x14ac:dyDescent="0.6">
      <c r="A11" s="10">
        <v>4</v>
      </c>
      <c r="B11" s="14">
        <v>46089</v>
      </c>
      <c r="C11" s="10" t="s">
        <v>48</v>
      </c>
      <c r="D11" s="10" t="s">
        <v>49</v>
      </c>
      <c r="E11" s="14">
        <v>18505</v>
      </c>
      <c r="F11" s="10" t="s">
        <v>50</v>
      </c>
      <c r="G11" s="16" t="s">
        <v>51</v>
      </c>
      <c r="H11" s="20" t="s">
        <v>52</v>
      </c>
      <c r="I11" s="16" t="s">
        <v>53</v>
      </c>
      <c r="J11" s="10" t="s">
        <v>54</v>
      </c>
      <c r="K11" s="10" t="s">
        <v>26</v>
      </c>
      <c r="L11" s="10" t="s">
        <v>55</v>
      </c>
      <c r="M11" s="16" t="s">
        <v>56</v>
      </c>
    </row>
    <row r="12" spans="1:13" ht="22.05" customHeight="1" x14ac:dyDescent="0.6">
      <c r="A12" s="9">
        <v>5</v>
      </c>
      <c r="B12" s="13">
        <v>46091</v>
      </c>
      <c r="C12" s="9" t="s">
        <v>57</v>
      </c>
      <c r="D12" s="9" t="s">
        <v>58</v>
      </c>
      <c r="E12" s="13">
        <v>17262</v>
      </c>
      <c r="F12" s="9" t="s">
        <v>59</v>
      </c>
      <c r="G12" s="15" t="s">
        <v>60</v>
      </c>
      <c r="H12" s="19" t="s">
        <v>61</v>
      </c>
      <c r="I12" s="15" t="s">
        <v>62</v>
      </c>
      <c r="J12" s="9" t="s">
        <v>63</v>
      </c>
      <c r="K12" s="9" t="s">
        <v>26</v>
      </c>
      <c r="L12" s="9" t="s">
        <v>64</v>
      </c>
      <c r="M12" s="15" t="s">
        <v>65</v>
      </c>
    </row>
    <row r="13" spans="1:13" ht="22.05" customHeight="1" x14ac:dyDescent="0.6">
      <c r="A13" s="10">
        <v>6</v>
      </c>
      <c r="B13" s="14">
        <v>46093</v>
      </c>
      <c r="C13" s="10" t="s">
        <v>66</v>
      </c>
      <c r="D13" s="10" t="s">
        <v>67</v>
      </c>
      <c r="E13" s="14">
        <v>19619</v>
      </c>
      <c r="F13" s="10" t="s">
        <v>68</v>
      </c>
      <c r="G13" s="16" t="s">
        <v>69</v>
      </c>
      <c r="H13" s="20" t="s">
        <v>70</v>
      </c>
      <c r="I13" s="16" t="s">
        <v>71</v>
      </c>
      <c r="J13" s="10" t="s">
        <v>25</v>
      </c>
      <c r="K13" s="10" t="s">
        <v>26</v>
      </c>
      <c r="L13" s="10" t="s">
        <v>72</v>
      </c>
      <c r="M13" s="16" t="s">
        <v>73</v>
      </c>
    </row>
    <row r="14" spans="1:13" ht="22.05" customHeight="1" x14ac:dyDescent="0.6">
      <c r="A14" s="9">
        <v>7</v>
      </c>
      <c r="B14" s="13">
        <v>46096</v>
      </c>
      <c r="C14" s="9" t="s">
        <v>74</v>
      </c>
      <c r="D14" s="9" t="s">
        <v>75</v>
      </c>
      <c r="E14" s="13">
        <v>17923</v>
      </c>
      <c r="F14" s="9" t="s">
        <v>76</v>
      </c>
      <c r="G14" s="15" t="s">
        <v>77</v>
      </c>
      <c r="H14" s="19" t="s">
        <v>78</v>
      </c>
      <c r="I14" s="15" t="s">
        <v>79</v>
      </c>
      <c r="J14" s="9" t="s">
        <v>25</v>
      </c>
      <c r="K14" s="9" t="s">
        <v>26</v>
      </c>
      <c r="L14" s="9" t="s">
        <v>80</v>
      </c>
      <c r="M14" s="15" t="s">
        <v>81</v>
      </c>
    </row>
    <row r="15" spans="1:13" ht="22.05" customHeight="1" x14ac:dyDescent="0.6">
      <c r="A15" s="10">
        <v>8</v>
      </c>
      <c r="B15" s="14">
        <v>46099</v>
      </c>
      <c r="C15" s="10" t="s">
        <v>82</v>
      </c>
      <c r="D15" s="10" t="s">
        <v>83</v>
      </c>
      <c r="E15" s="14">
        <v>18817</v>
      </c>
      <c r="F15" s="10" t="s">
        <v>84</v>
      </c>
      <c r="G15" s="16" t="s">
        <v>85</v>
      </c>
      <c r="H15" s="20" t="s">
        <v>86</v>
      </c>
      <c r="I15" s="16" t="s">
        <v>87</v>
      </c>
      <c r="J15" s="10" t="s">
        <v>54</v>
      </c>
      <c r="K15" s="10" t="s">
        <v>26</v>
      </c>
      <c r="L15" s="10" t="s">
        <v>88</v>
      </c>
      <c r="M15" s="16" t="s">
        <v>89</v>
      </c>
    </row>
    <row r="16" spans="1:13" ht="22.05" customHeight="1" x14ac:dyDescent="0.6">
      <c r="A16" s="9">
        <v>9</v>
      </c>
      <c r="B16" s="13">
        <v>46103</v>
      </c>
      <c r="C16" s="9" t="s">
        <v>90</v>
      </c>
      <c r="D16" s="9" t="s">
        <v>91</v>
      </c>
      <c r="E16" s="13">
        <v>17139</v>
      </c>
      <c r="F16" s="9" t="s">
        <v>92</v>
      </c>
      <c r="G16" s="15" t="s">
        <v>93</v>
      </c>
      <c r="H16" s="19" t="s">
        <v>94</v>
      </c>
      <c r="I16" s="15" t="s">
        <v>95</v>
      </c>
      <c r="J16" s="9" t="s">
        <v>35</v>
      </c>
      <c r="K16" s="9" t="s">
        <v>26</v>
      </c>
      <c r="L16" s="9" t="s">
        <v>96</v>
      </c>
      <c r="M16" s="15" t="s">
        <v>97</v>
      </c>
    </row>
    <row r="17" spans="1:13" ht="22.05" customHeight="1" x14ac:dyDescent="0.6">
      <c r="A17" s="10">
        <v>10</v>
      </c>
      <c r="B17" s="14">
        <v>46106</v>
      </c>
      <c r="C17" s="10" t="s">
        <v>98</v>
      </c>
      <c r="D17" s="10" t="s">
        <v>99</v>
      </c>
      <c r="E17" s="14">
        <v>19894</v>
      </c>
      <c r="F17" s="10" t="s">
        <v>100</v>
      </c>
      <c r="G17" s="16" t="s">
        <v>101</v>
      </c>
      <c r="H17" s="20" t="s">
        <v>102</v>
      </c>
      <c r="I17" s="16" t="s">
        <v>103</v>
      </c>
      <c r="J17" s="10" t="s">
        <v>25</v>
      </c>
      <c r="K17" s="10" t="s">
        <v>26</v>
      </c>
      <c r="L17" s="10" t="s">
        <v>104</v>
      </c>
      <c r="M17" s="16" t="s">
        <v>105</v>
      </c>
    </row>
    <row r="18" spans="1:13" ht="22.05" customHeight="1" x14ac:dyDescent="0.6">
      <c r="A18" s="11">
        <v>11</v>
      </c>
      <c r="B18" s="11"/>
      <c r="C18" s="11"/>
      <c r="D18" s="11"/>
      <c r="E18" s="11"/>
      <c r="F18" s="11"/>
      <c r="G18" s="17"/>
      <c r="H18" s="21"/>
      <c r="I18" s="17"/>
      <c r="J18" s="11"/>
      <c r="K18" s="11"/>
      <c r="L18" s="11"/>
      <c r="M18" s="17"/>
    </row>
    <row r="19" spans="1:13" ht="22.05" customHeight="1" x14ac:dyDescent="0.6">
      <c r="A19" s="12">
        <v>12</v>
      </c>
      <c r="B19" s="12"/>
      <c r="C19" s="12"/>
      <c r="D19" s="12"/>
      <c r="E19" s="12"/>
      <c r="F19" s="12"/>
      <c r="G19" s="18"/>
      <c r="H19" s="20"/>
      <c r="I19" s="18"/>
      <c r="J19" s="12"/>
      <c r="K19" s="12"/>
      <c r="L19" s="12"/>
      <c r="M19" s="18"/>
    </row>
    <row r="20" spans="1:13" ht="22.05" customHeight="1" x14ac:dyDescent="0.6">
      <c r="A20" s="11">
        <v>13</v>
      </c>
      <c r="B20" s="11"/>
      <c r="C20" s="11"/>
      <c r="D20" s="11"/>
      <c r="E20" s="11"/>
      <c r="F20" s="11"/>
      <c r="G20" s="17"/>
      <c r="H20" s="21"/>
      <c r="I20" s="17"/>
      <c r="J20" s="11"/>
      <c r="K20" s="11"/>
      <c r="L20" s="11"/>
      <c r="M20" s="17"/>
    </row>
    <row r="21" spans="1:13" ht="22.05" customHeight="1" x14ac:dyDescent="0.6">
      <c r="A21" s="12">
        <v>14</v>
      </c>
      <c r="B21" s="12"/>
      <c r="C21" s="12"/>
      <c r="D21" s="12"/>
      <c r="E21" s="12"/>
      <c r="F21" s="12"/>
      <c r="G21" s="18"/>
      <c r="H21" s="20"/>
      <c r="I21" s="18"/>
      <c r="J21" s="12"/>
      <c r="K21" s="12"/>
      <c r="L21" s="12"/>
      <c r="M21" s="18"/>
    </row>
    <row r="22" spans="1:13" ht="22.05" customHeight="1" x14ac:dyDescent="0.6">
      <c r="A22" s="11">
        <v>15</v>
      </c>
      <c r="B22" s="11"/>
      <c r="C22" s="11"/>
      <c r="D22" s="11"/>
      <c r="E22" s="11"/>
      <c r="F22" s="11"/>
      <c r="G22" s="17"/>
      <c r="H22" s="21"/>
      <c r="I22" s="17"/>
      <c r="J22" s="11"/>
      <c r="K22" s="11"/>
      <c r="L22" s="11"/>
      <c r="M22" s="17"/>
    </row>
    <row r="23" spans="1:13" ht="22.05" customHeight="1" x14ac:dyDescent="0.6">
      <c r="A23" s="12">
        <v>16</v>
      </c>
      <c r="B23" s="12"/>
      <c r="C23" s="12"/>
      <c r="D23" s="12"/>
      <c r="E23" s="12"/>
      <c r="F23" s="12"/>
      <c r="G23" s="18"/>
      <c r="H23" s="20"/>
      <c r="I23" s="18"/>
      <c r="J23" s="12"/>
      <c r="K23" s="12"/>
      <c r="L23" s="12"/>
      <c r="M23" s="18"/>
    </row>
    <row r="24" spans="1:13" ht="22.05" customHeight="1" x14ac:dyDescent="0.6">
      <c r="A24" s="11">
        <v>17</v>
      </c>
      <c r="B24" s="11"/>
      <c r="C24" s="11"/>
      <c r="D24" s="11"/>
      <c r="E24" s="11"/>
      <c r="F24" s="11"/>
      <c r="G24" s="17"/>
      <c r="H24" s="21"/>
      <c r="I24" s="17"/>
      <c r="J24" s="11"/>
      <c r="K24" s="11"/>
      <c r="L24" s="11"/>
      <c r="M24" s="17"/>
    </row>
    <row r="25" spans="1:13" ht="22.05" customHeight="1" x14ac:dyDescent="0.6">
      <c r="A25" s="12">
        <v>18</v>
      </c>
      <c r="B25" s="12"/>
      <c r="C25" s="12"/>
      <c r="D25" s="12"/>
      <c r="E25" s="12"/>
      <c r="F25" s="12"/>
      <c r="G25" s="18"/>
      <c r="H25" s="20"/>
      <c r="I25" s="18"/>
      <c r="J25" s="12"/>
      <c r="K25" s="12"/>
      <c r="L25" s="12"/>
      <c r="M25" s="18"/>
    </row>
    <row r="26" spans="1:13" ht="22.05" customHeight="1" x14ac:dyDescent="0.6">
      <c r="A26" s="11">
        <v>19</v>
      </c>
      <c r="B26" s="11"/>
      <c r="C26" s="11"/>
      <c r="D26" s="11"/>
      <c r="E26" s="11"/>
      <c r="F26" s="11"/>
      <c r="G26" s="17"/>
      <c r="H26" s="21"/>
      <c r="I26" s="17"/>
      <c r="J26" s="11"/>
      <c r="K26" s="11"/>
      <c r="L26" s="11"/>
      <c r="M26" s="17"/>
    </row>
    <row r="27" spans="1:13" ht="22.05" customHeight="1" x14ac:dyDescent="0.6">
      <c r="A27" s="12">
        <v>20</v>
      </c>
      <c r="B27" s="12"/>
      <c r="C27" s="12"/>
      <c r="D27" s="12"/>
      <c r="E27" s="12"/>
      <c r="F27" s="12"/>
      <c r="G27" s="18"/>
      <c r="H27" s="20"/>
      <c r="I27" s="18"/>
      <c r="J27" s="12"/>
      <c r="K27" s="12"/>
      <c r="L27" s="12"/>
      <c r="M27" s="18"/>
    </row>
    <row r="28" spans="1:13" ht="22.05" customHeight="1" x14ac:dyDescent="0.6">
      <c r="A28" s="11">
        <v>21</v>
      </c>
      <c r="B28" s="11"/>
      <c r="C28" s="11"/>
      <c r="D28" s="11"/>
      <c r="E28" s="11"/>
      <c r="F28" s="11"/>
      <c r="G28" s="17"/>
      <c r="H28" s="21"/>
      <c r="I28" s="17"/>
      <c r="J28" s="11"/>
      <c r="K28" s="11"/>
      <c r="L28" s="11"/>
      <c r="M28" s="17"/>
    </row>
    <row r="29" spans="1:13" ht="22.05" customHeight="1" x14ac:dyDescent="0.6">
      <c r="A29" s="12">
        <v>22</v>
      </c>
      <c r="B29" s="12"/>
      <c r="C29" s="12"/>
      <c r="D29" s="12"/>
      <c r="E29" s="12"/>
      <c r="F29" s="12"/>
      <c r="G29" s="18"/>
      <c r="H29" s="20"/>
      <c r="I29" s="18"/>
      <c r="J29" s="12"/>
      <c r="K29" s="12"/>
      <c r="L29" s="12"/>
      <c r="M29" s="18"/>
    </row>
    <row r="30" spans="1:13" ht="22.05" customHeight="1" x14ac:dyDescent="0.6">
      <c r="A30" s="11">
        <v>23</v>
      </c>
      <c r="B30" s="11"/>
      <c r="C30" s="11"/>
      <c r="D30" s="11"/>
      <c r="E30" s="11"/>
      <c r="F30" s="11"/>
      <c r="G30" s="17"/>
      <c r="H30" s="21"/>
      <c r="I30" s="17"/>
      <c r="J30" s="11"/>
      <c r="K30" s="11"/>
      <c r="L30" s="11"/>
      <c r="M30" s="17"/>
    </row>
    <row r="31" spans="1:13" ht="22.05" customHeight="1" x14ac:dyDescent="0.6">
      <c r="A31" s="12">
        <v>24</v>
      </c>
      <c r="B31" s="12"/>
      <c r="C31" s="12"/>
      <c r="D31" s="12"/>
      <c r="E31" s="12"/>
      <c r="F31" s="12"/>
      <c r="G31" s="18"/>
      <c r="H31" s="20"/>
      <c r="I31" s="18"/>
      <c r="J31" s="12"/>
      <c r="K31" s="12"/>
      <c r="L31" s="12"/>
      <c r="M31" s="18"/>
    </row>
    <row r="32" spans="1:13" ht="22.05" customHeight="1" x14ac:dyDescent="0.6">
      <c r="A32" s="11">
        <v>25</v>
      </c>
      <c r="B32" s="11"/>
      <c r="C32" s="11"/>
      <c r="D32" s="11"/>
      <c r="E32" s="11"/>
      <c r="F32" s="11"/>
      <c r="G32" s="17"/>
      <c r="H32" s="21"/>
      <c r="I32" s="17"/>
      <c r="J32" s="11"/>
      <c r="K32" s="11"/>
      <c r="L32" s="11"/>
      <c r="M32" s="17"/>
    </row>
    <row r="33" spans="1:13" ht="22.05" customHeight="1" x14ac:dyDescent="0.6">
      <c r="A33" s="12">
        <v>26</v>
      </c>
      <c r="B33" s="12"/>
      <c r="C33" s="12"/>
      <c r="D33" s="12"/>
      <c r="E33" s="12"/>
      <c r="F33" s="12"/>
      <c r="G33" s="18"/>
      <c r="H33" s="20"/>
      <c r="I33" s="18"/>
      <c r="J33" s="12"/>
      <c r="K33" s="12"/>
      <c r="L33" s="12"/>
      <c r="M33" s="18"/>
    </row>
    <row r="34" spans="1:13" ht="22.05" customHeight="1" x14ac:dyDescent="0.6">
      <c r="A34" s="11">
        <v>27</v>
      </c>
      <c r="B34" s="11"/>
      <c r="C34" s="11"/>
      <c r="D34" s="11"/>
      <c r="E34" s="11"/>
      <c r="F34" s="11"/>
      <c r="G34" s="17"/>
      <c r="H34" s="21"/>
      <c r="I34" s="17"/>
      <c r="J34" s="11"/>
      <c r="K34" s="11"/>
      <c r="L34" s="11"/>
      <c r="M34" s="17"/>
    </row>
    <row r="35" spans="1:13" ht="22.05" customHeight="1" x14ac:dyDescent="0.6">
      <c r="A35" s="12">
        <v>28</v>
      </c>
      <c r="B35" s="12"/>
      <c r="C35" s="12"/>
      <c r="D35" s="12"/>
      <c r="E35" s="12"/>
      <c r="F35" s="12"/>
      <c r="G35" s="18"/>
      <c r="H35" s="20"/>
      <c r="I35" s="18"/>
      <c r="J35" s="12"/>
      <c r="K35" s="12"/>
      <c r="L35" s="12"/>
      <c r="M35" s="18"/>
    </row>
  </sheetData>
  <mergeCells count="10">
    <mergeCell ref="A1:M1"/>
    <mergeCell ref="A2:M2"/>
    <mergeCell ref="B4:C4"/>
    <mergeCell ref="B5:C5"/>
    <mergeCell ref="E4:F4"/>
    <mergeCell ref="E5:F5"/>
    <mergeCell ref="H4:I4"/>
    <mergeCell ref="H5:I5"/>
    <mergeCell ref="K4:L4"/>
    <mergeCell ref="K5:L5"/>
  </mergeCells>
  <phoneticPr fontId="5" type="noConversion"/>
  <printOptions horizontalCentered="1"/>
  <pageMargins left="0.4" right="0.4" top="0.5" bottom="0.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4C93-CD61-4009-8695-65BC40035F80}">
  <sheetPr>
    <tabColor rgb="FF323232"/>
    <pageSetUpPr fitToPage="1"/>
  </sheetPr>
  <dimension ref="A1:M25"/>
  <sheetViews>
    <sheetView workbookViewId="0"/>
  </sheetViews>
  <sheetFormatPr defaultRowHeight="16.899999999999999" x14ac:dyDescent="0.6"/>
  <cols>
    <col min="1" max="1" width="5.5625" customWidth="1"/>
    <col min="2" max="2" width="11.5625" customWidth="1"/>
    <col min="3" max="3" width="10.5625" customWidth="1"/>
    <col min="4" max="4" width="11.5625" customWidth="1"/>
    <col min="5" max="5" width="13.5625" customWidth="1"/>
    <col min="6" max="6" width="14.5625" customWidth="1"/>
    <col min="7" max="7" width="16.5625" customWidth="1"/>
    <col min="8" max="8" width="17.5625" customWidth="1"/>
    <col min="9" max="9" width="11.5625" customWidth="1"/>
    <col min="10" max="10" width="9.5625" customWidth="1"/>
    <col min="11" max="11" width="16.5625" customWidth="1"/>
    <col min="12" max="13" width="9.5625" customWidth="1"/>
  </cols>
  <sheetData>
    <row r="1" spans="1:13" ht="36" customHeight="1" x14ac:dyDescent="0.6">
      <c r="A1" s="22" t="s">
        <v>106</v>
      </c>
      <c r="B1" s="3"/>
      <c r="C1" s="3"/>
      <c r="D1" s="3"/>
      <c r="E1" s="3"/>
      <c r="F1" s="3"/>
      <c r="G1" s="3"/>
      <c r="H1" s="3"/>
      <c r="I1" s="3"/>
      <c r="J1" s="23" t="s">
        <v>107</v>
      </c>
      <c r="K1" s="24" t="s">
        <v>108</v>
      </c>
      <c r="L1" s="24" t="s">
        <v>109</v>
      </c>
      <c r="M1" s="24" t="s">
        <v>110</v>
      </c>
    </row>
    <row r="2" spans="1:13" ht="28.05" customHeight="1" x14ac:dyDescent="0.6">
      <c r="J2" s="25"/>
      <c r="K2" s="26"/>
      <c r="L2" s="26"/>
      <c r="M2" s="26"/>
    </row>
    <row r="3" spans="1:13" ht="20" customHeight="1" x14ac:dyDescent="0.6">
      <c r="A3" s="27" t="s">
        <v>111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ht="26" customHeight="1" x14ac:dyDescent="0.6">
      <c r="A4" s="29" t="s">
        <v>6</v>
      </c>
      <c r="B4" s="29" t="s">
        <v>7</v>
      </c>
      <c r="C4" s="29" t="s">
        <v>112</v>
      </c>
      <c r="D4" s="29" t="s">
        <v>8</v>
      </c>
      <c r="E4" s="29" t="s">
        <v>13</v>
      </c>
      <c r="F4" s="29" t="s">
        <v>113</v>
      </c>
      <c r="G4" s="29" t="s">
        <v>114</v>
      </c>
      <c r="H4" s="29" t="s">
        <v>115</v>
      </c>
      <c r="I4" s="29" t="s">
        <v>116</v>
      </c>
      <c r="J4" s="29" t="s">
        <v>16</v>
      </c>
      <c r="K4" s="29" t="s">
        <v>117</v>
      </c>
      <c r="L4" s="29" t="s">
        <v>118</v>
      </c>
      <c r="M4" s="29" t="s">
        <v>119</v>
      </c>
    </row>
    <row r="5" spans="1:13" ht="24" customHeight="1" x14ac:dyDescent="0.6">
      <c r="A5" s="33">
        <v>1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ht="24" customHeight="1" x14ac:dyDescent="0.6">
      <c r="A6" s="34">
        <v>2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</row>
    <row r="7" spans="1:13" ht="24" customHeight="1" x14ac:dyDescent="0.6">
      <c r="A7" s="33">
        <v>3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ht="24" customHeight="1" x14ac:dyDescent="0.6">
      <c r="A8" s="34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3" ht="24" customHeight="1" x14ac:dyDescent="0.6">
      <c r="A9" s="33">
        <v>5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0" spans="1:13" ht="24" customHeight="1" x14ac:dyDescent="0.6">
      <c r="A10" s="34">
        <v>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  <row r="11" spans="1:13" ht="24" customHeight="1" x14ac:dyDescent="0.6">
      <c r="A11" s="33">
        <v>7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ht="24" customHeight="1" x14ac:dyDescent="0.6">
      <c r="A12" s="34">
        <v>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1:13" ht="24" customHeight="1" x14ac:dyDescent="0.6">
      <c r="A13" s="33">
        <v>9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1:13" ht="24" customHeight="1" x14ac:dyDescent="0.6">
      <c r="A14" s="34">
        <v>10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5" spans="1:13" ht="24" customHeight="1" x14ac:dyDescent="0.6">
      <c r="A15" s="33">
        <v>11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ht="24" customHeight="1" x14ac:dyDescent="0.6">
      <c r="A16" s="34">
        <v>12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</row>
    <row r="17" spans="1:13" ht="24" customHeight="1" x14ac:dyDescent="0.6">
      <c r="A17" s="33">
        <v>13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1:13" ht="24" customHeight="1" x14ac:dyDescent="0.6">
      <c r="A18" s="34">
        <v>14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spans="1:13" ht="24" customHeight="1" x14ac:dyDescent="0.6">
      <c r="A19" s="33">
        <v>15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1:13" ht="24" customHeight="1" x14ac:dyDescent="0.6">
      <c r="A20" s="34">
        <v>16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</row>
    <row r="21" spans="1:13" ht="24" customHeight="1" x14ac:dyDescent="0.6">
      <c r="A21" s="33">
        <v>17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ht="24" customHeight="1" x14ac:dyDescent="0.6">
      <c r="A22" s="34">
        <v>18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24" customHeight="1" x14ac:dyDescent="0.6">
      <c r="A23" s="35">
        <v>19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3" x14ac:dyDescent="0.6">
      <c r="A24" s="36" t="s">
        <v>120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</row>
    <row r="25" spans="1:13" x14ac:dyDescent="0.6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</row>
  </sheetData>
  <mergeCells count="4">
    <mergeCell ref="A1:I1"/>
    <mergeCell ref="J1:J2"/>
    <mergeCell ref="A3:M3"/>
    <mergeCell ref="A24:M25"/>
  </mergeCells>
  <phoneticPr fontId="5" type="noConversion"/>
  <printOptions horizontalCentered="1"/>
  <pageMargins left="0.3" right="0.3" top="0.4" bottom="0.4" header="0.3" footer="0.3"/>
  <pageSetup paperSize="9" scale="8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863F-1EDB-4768-91EF-D3189A843C74}">
  <sheetPr>
    <tabColor rgb="FFC65911"/>
    <pageSetUpPr fitToPage="1"/>
  </sheetPr>
  <dimension ref="A1:F26"/>
  <sheetViews>
    <sheetView workbookViewId="0"/>
  </sheetViews>
  <sheetFormatPr defaultRowHeight="16.899999999999999" x14ac:dyDescent="0.6"/>
  <cols>
    <col min="1" max="1" width="14.5625" customWidth="1"/>
    <col min="2" max="2" width="16.5625" customWidth="1"/>
    <col min="3" max="3" width="14.5625" customWidth="1"/>
    <col min="4" max="4" width="16.5625" customWidth="1"/>
    <col min="5" max="5" width="14.5625" customWidth="1"/>
    <col min="6" max="6" width="16.5625" customWidth="1"/>
  </cols>
  <sheetData>
    <row r="1" spans="1:6" ht="45" customHeight="1" x14ac:dyDescent="0.6">
      <c r="A1" s="38" t="s">
        <v>121</v>
      </c>
      <c r="B1" s="3"/>
      <c r="C1" s="3"/>
      <c r="D1" s="3"/>
      <c r="E1" s="3"/>
      <c r="F1" s="3"/>
    </row>
    <row r="2" spans="1:6" ht="22.05" customHeight="1" x14ac:dyDescent="0.6">
      <c r="A2" s="40" t="s">
        <v>122</v>
      </c>
      <c r="B2" s="3"/>
      <c r="C2" s="3"/>
      <c r="D2" s="3"/>
      <c r="E2" s="3"/>
      <c r="F2" s="3"/>
    </row>
    <row r="4" spans="1:6" ht="22.05" customHeight="1" x14ac:dyDescent="0.6">
      <c r="A4" s="39" t="s">
        <v>123</v>
      </c>
      <c r="B4" s="1"/>
      <c r="C4" s="1"/>
      <c r="D4" s="1"/>
      <c r="E4" s="1"/>
      <c r="F4" s="1"/>
    </row>
    <row r="5" spans="1:6" ht="26" customHeight="1" x14ac:dyDescent="0.6">
      <c r="A5" s="43" t="s">
        <v>112</v>
      </c>
      <c r="B5" s="41"/>
      <c r="C5" s="43" t="s">
        <v>10</v>
      </c>
      <c r="D5" s="41"/>
      <c r="E5" s="43" t="s">
        <v>8</v>
      </c>
      <c r="F5" s="41"/>
    </row>
    <row r="6" spans="1:6" ht="26" customHeight="1" x14ac:dyDescent="0.6">
      <c r="A6" s="43" t="s">
        <v>124</v>
      </c>
      <c r="B6" s="41"/>
      <c r="C6" s="44" t="s">
        <v>12</v>
      </c>
      <c r="D6" s="42"/>
      <c r="E6" s="43" t="s">
        <v>125</v>
      </c>
      <c r="F6" s="41"/>
    </row>
    <row r="7" spans="1:6" ht="26" customHeight="1" x14ac:dyDescent="0.6">
      <c r="A7" s="43" t="s">
        <v>126</v>
      </c>
      <c r="B7" s="42"/>
      <c r="C7" s="42"/>
      <c r="D7" s="42"/>
      <c r="E7" s="42"/>
      <c r="F7" s="42"/>
    </row>
    <row r="9" spans="1:6" ht="22.05" customHeight="1" x14ac:dyDescent="0.6">
      <c r="A9" s="39" t="s">
        <v>127</v>
      </c>
      <c r="B9" s="1"/>
      <c r="C9" s="1"/>
      <c r="D9" s="1"/>
      <c r="E9" s="1"/>
      <c r="F9" s="1"/>
    </row>
    <row r="10" spans="1:6" ht="28.05" customHeight="1" x14ac:dyDescent="0.6">
      <c r="A10" s="43" t="s">
        <v>13</v>
      </c>
      <c r="B10" s="42"/>
      <c r="C10" s="42"/>
      <c r="D10" s="43" t="s">
        <v>128</v>
      </c>
      <c r="E10" s="42"/>
      <c r="F10" s="42"/>
    </row>
    <row r="11" spans="1:6" ht="28.05" customHeight="1" x14ac:dyDescent="0.6">
      <c r="A11" s="43" t="s">
        <v>129</v>
      </c>
      <c r="B11" s="42" t="s">
        <v>130</v>
      </c>
      <c r="C11" s="42"/>
      <c r="D11" s="43" t="s">
        <v>116</v>
      </c>
      <c r="E11" s="42" t="s">
        <v>131</v>
      </c>
      <c r="F11" s="42"/>
    </row>
    <row r="12" spans="1:6" ht="28.05" customHeight="1" x14ac:dyDescent="0.6">
      <c r="A12" s="45" t="s">
        <v>132</v>
      </c>
      <c r="B12" s="42"/>
      <c r="C12" s="42"/>
      <c r="D12" s="43" t="s">
        <v>133</v>
      </c>
      <c r="E12" s="42" t="s">
        <v>134</v>
      </c>
      <c r="F12" s="42"/>
    </row>
    <row r="14" spans="1:6" ht="22.05" customHeight="1" x14ac:dyDescent="0.6">
      <c r="A14" s="39" t="s">
        <v>135</v>
      </c>
      <c r="B14" s="1"/>
      <c r="C14" s="1"/>
      <c r="D14" s="1"/>
      <c r="E14" s="1"/>
      <c r="F14" s="1"/>
    </row>
    <row r="15" spans="1:6" ht="35" customHeight="1" x14ac:dyDescent="0.6">
      <c r="A15" s="46" t="s">
        <v>136</v>
      </c>
      <c r="B15" s="47"/>
      <c r="C15" s="47"/>
      <c r="D15" s="47"/>
      <c r="E15" s="47"/>
      <c r="F15" s="47"/>
    </row>
    <row r="16" spans="1:6" ht="35" customHeight="1" x14ac:dyDescent="0.6">
      <c r="A16" s="47"/>
      <c r="B16" s="47"/>
      <c r="C16" s="47"/>
      <c r="D16" s="47"/>
      <c r="E16" s="47"/>
      <c r="F16" s="47"/>
    </row>
    <row r="17" spans="1:6" ht="35" customHeight="1" x14ac:dyDescent="0.6">
      <c r="A17" s="47"/>
      <c r="B17" s="47"/>
      <c r="C17" s="47"/>
      <c r="D17" s="47"/>
      <c r="E17" s="47"/>
      <c r="F17" s="47"/>
    </row>
    <row r="18" spans="1:6" ht="35" customHeight="1" x14ac:dyDescent="0.6">
      <c r="A18" s="47"/>
      <c r="B18" s="47"/>
      <c r="C18" s="47"/>
      <c r="D18" s="47"/>
      <c r="E18" s="47"/>
      <c r="F18" s="47"/>
    </row>
    <row r="20" spans="1:6" ht="26" customHeight="1" x14ac:dyDescent="0.6">
      <c r="A20" s="48" t="s">
        <v>137</v>
      </c>
      <c r="B20" s="3"/>
      <c r="C20" s="3"/>
      <c r="D20" s="3"/>
      <c r="E20" s="3"/>
      <c r="F20" s="3"/>
    </row>
    <row r="22" spans="1:6" ht="24" customHeight="1" x14ac:dyDescent="0.6">
      <c r="A22" s="49" t="s">
        <v>138</v>
      </c>
      <c r="B22" s="3"/>
      <c r="C22" s="3"/>
      <c r="D22" s="3"/>
      <c r="E22" s="3"/>
      <c r="F22" s="3"/>
    </row>
    <row r="24" spans="1:6" ht="26" customHeight="1" x14ac:dyDescent="0.6">
      <c r="A24" s="50" t="s">
        <v>139</v>
      </c>
      <c r="B24" s="51"/>
      <c r="C24" s="51"/>
      <c r="D24" s="51"/>
      <c r="E24" s="51"/>
      <c r="F24" s="51"/>
    </row>
    <row r="26" spans="1:6" ht="35" customHeight="1" x14ac:dyDescent="0.6">
      <c r="A26" s="52" t="s">
        <v>140</v>
      </c>
      <c r="B26" s="3"/>
      <c r="C26" s="3"/>
      <c r="D26" s="3"/>
      <c r="E26" s="3"/>
      <c r="F26" s="3"/>
    </row>
  </sheetData>
  <mergeCells count="18">
    <mergeCell ref="A14:F14"/>
    <mergeCell ref="A15:F18"/>
    <mergeCell ref="A20:F20"/>
    <mergeCell ref="A22:F22"/>
    <mergeCell ref="A24:F24"/>
    <mergeCell ref="A26:F26"/>
    <mergeCell ref="B10:C10"/>
    <mergeCell ref="E10:F10"/>
    <mergeCell ref="B11:C11"/>
    <mergeCell ref="E11:F11"/>
    <mergeCell ref="B12:C12"/>
    <mergeCell ref="E12:F12"/>
    <mergeCell ref="A1:F1"/>
    <mergeCell ref="A2:F2"/>
    <mergeCell ref="A4:F4"/>
    <mergeCell ref="C6:D6"/>
    <mergeCell ref="B7:F7"/>
    <mergeCell ref="A9:F9"/>
  </mergeCells>
  <phoneticPr fontId="5" type="noConversion"/>
  <printOptions horizontalCentered="1"/>
  <pageMargins left="0.5" right="0.5" top="0.6" bottom="0.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차량등록_전산관리대장</vt:lpstr>
      <vt:lpstr>차량등록부(현장비치·인쇄용)</vt:lpstr>
      <vt:lpstr>차량등록신청서(1인제출용)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수나 김</dc:creator>
  <cp:lastModifiedBy>수나 김</cp:lastModifiedBy>
  <dcterms:created xsi:type="dcterms:W3CDTF">2026-10-08T05:40:04Z</dcterms:created>
  <dcterms:modified xsi:type="dcterms:W3CDTF">2026-10-08T05:40:17Z</dcterms:modified>
</cp:coreProperties>
</file>